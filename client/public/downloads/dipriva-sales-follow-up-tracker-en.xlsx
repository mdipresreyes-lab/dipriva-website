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cker" state="visible" r:id="rId4"/>
    <sheet sheetId="2" name="Messages" state="visible" r:id="rId5"/>
  </sheets>
  <calcPr calcId="171027" fullCalcOnLoad="1"/>
</workbook>
</file>

<file path=xl/sharedStrings.xml><?xml version="1.0" encoding="utf-8"?>
<sst xmlns="http://schemas.openxmlformats.org/spreadsheetml/2006/main" count="39" uniqueCount="39">
  <si>
    <t>Proposal follow-up tracker</t>
  </si>
  <si>
    <t>Fill in the cream cells with blue text. Everything else calculates. Delete the example row when you start.</t>
  </si>
  <si>
    <t>Client</t>
  </si>
  <si>
    <t>Project</t>
  </si>
  <si>
    <t>Proposal sent</t>
  </si>
  <si>
    <t>Touch 1</t>
  </si>
  <si>
    <t>Touch 2</t>
  </si>
  <si>
    <t>Touch 3</t>
  </si>
  <si>
    <t>Touch 4</t>
  </si>
  <si>
    <t>Touch 5</t>
  </si>
  <si>
    <t>Touches done</t>
  </si>
  <si>
    <t>Next touch</t>
  </si>
  <si>
    <t>Status</t>
  </si>
  <si>
    <t>Result</t>
  </si>
  <si>
    <t>Notes</t>
  </si>
  <si>
    <t>Example: Reyes Roofing</t>
  </si>
  <si>
    <t>Roof replacement</t>
  </si>
  <si>
    <t>Open</t>
  </si>
  <si>
    <t>The Sales Follow-Up Kit</t>
  </si>
  <si>
    <t>Days count from the day you send the proposal. Weekend dates move to Monday. Replace the brackets. Send each message from your own email. The Excel tracker calculates every due date for you.</t>
  </si>
  <si>
    <t>Touch</t>
  </si>
  <si>
    <t>When</t>
  </si>
  <si>
    <t>Purpose</t>
  </si>
  <si>
    <t>Message</t>
  </si>
  <si>
    <t>Day 1</t>
  </si>
  <si>
    <t>Confirm</t>
  </si>
  <si>
    <t>Hi [Name], I sent the proposal for [project] today. Please confirm it arrived and tell me what questions it raises. I can walk through it in 15 minutes.</t>
  </si>
  <si>
    <t>Day 3</t>
  </si>
  <si>
    <t>Answer</t>
  </si>
  <si>
    <t>Hi [Name], any questions on the proposal so far? If a number or a scope item is unclear, tell me which one and I will clarify it today.</t>
  </si>
  <si>
    <t>Day 7</t>
  </si>
  <si>
    <t>Add value</t>
  </si>
  <si>
    <t>Hi [Name], one thing that may help your decision: [a relevant example, or the answer to their question]. If it changes anything in the proposal, I will adjust it.</t>
  </si>
  <si>
    <t>Day 14</t>
  </si>
  <si>
    <t>Ask</t>
  </si>
  <si>
    <t>Hi [Name], where does the proposal stand? A clear yes, no or not yet helps me plan. If your timing changed, tell me the new date.</t>
  </si>
  <si>
    <t>Day 30</t>
  </si>
  <si>
    <t>Close the loop</t>
  </si>
  <si>
    <t>Hi [Name], I am closing the file on this proposal today. If priorities change, reply here and I will reopen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</si>
</sst>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d mmm d, yyyy"/>
  </numFmts>
  <fonts count="7" x14ac:knownFonts="1">
    <font>
      <color theme="1"/>
      <family val="2"/>
      <scheme val="minor"/>
      <sz val="11"/>
      <name val="Calibri"/>
    </font>
    <font>
      <b/>
      <color rgb="FF2F4059"/>
      <sz val="16"/>
      <name val="Georgia"/>
    </font>
    <font>
      <i/>
      <color rgb="FF2F4059"/>
      <sz val="10"/>
      <name val="Arial"/>
    </font>
    <font>
      <b/>
      <color rgb="FFF5F5DC"/>
      <sz val="10"/>
      <name val="Arial"/>
    </font>
    <font>
      <i/>
      <color rgb="FF0000FF"/>
      <sz val="10"/>
      <name val="Arial"/>
    </font>
    <font>
      <color rgb="FF2F4059"/>
      <sz val="10"/>
      <name val="Arial"/>
    </font>
    <font>
      <color rgb="FF0000FF"/>
      <sz val="10"/>
      <name val="Arial"/>
    </font>
  </fonts>
  <fills count="4">
    <fill>
      <patternFill patternType="none"/>
    </fill>
    <fill>
      <patternFill patternType="gray125"/>
    </fill>
    <fill>
      <patternFill patternType="solid">
        <fgColor rgb="FF2F4059"/>
      </patternFill>
    </fill>
    <fill>
      <patternFill patternType="solid">
        <fgColor rgb="FFF5F5DC"/>
      </patternFill>
    </fill>
  </fills>
  <borders count="2">
    <border>
      <left/>
      <right/>
      <top/>
      <bottom/>
      <diagonal/>
    </border>
    <border>
      <left style="thin">
        <color rgb="FFE8E4D9"/>
      </left>
      <right style="thin">
        <color rgb="FFE8E4D9"/>
      </right>
      <top style="thin">
        <color rgb="FFE8E4D9"/>
      </top>
      <bottom style="thin">
        <color rgb="FFE8E4D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3" borderId="1" xfId="0" applyFont="1" applyFill="1" applyBorder="1"/>
    <xf numFmtId="164" fontId="4" fillId="3" borderId="1" xfId="0" applyNumberFormat="1" applyFont="1" applyFill="1" applyBorder="1"/>
    <xf numFmtId="164" fontId="5" fillId="0" borderId="1" xfId="0" applyNumberFormat="1" applyFont="1" applyBorder="1"/>
    <xf numFmtId="0" fontId="5" fillId="0" borderId="1" xfId="0" applyFont="1" applyBorder="1"/>
    <xf numFmtId="0" fontId="6" fillId="3" borderId="1" xfId="0" applyFont="1" applyFill="1" applyBorder="1"/>
    <xf numFmtId="164" fontId="6" fillId="3" borderId="1" xfId="0" applyNumberFormat="1" applyFont="1" applyFill="1" applyBorder="1"/>
    <xf numFmtId="0" fontId="5" fillId="0" borderId="1" xfId="0" applyFont="1" applyBorder="1" applyAlignment="1">
      <alignment vertical="top" wrapText="1"/>
    </xf>
  </cellXfs>
  <cellStyles count="1">
    <cellStyle name="Normal" xfId="0" builtinId="0"/>
  </cellStyles>
  <dxfs count="3">
    <dxf>
      <font>
        <color rgb="FFA32D2D"/>
      </font>
      <fill>
        <patternFill patternType="solid">
          <bgColor rgb="FFF7C1C1"/>
        </patternFill>
      </fill>
    </dxf>
    <dxf>
      <font>
        <color rgb="FF854F0B"/>
      </font>
      <fill>
        <patternFill patternType="solid">
          <bgColor rgb="FFFAEEDA"/>
        </patternFill>
      </fill>
    </dxf>
    <dxf>
      <font>
        <color rgb="FF3B6D11"/>
      </font>
      <fill>
        <patternFill patternType="solid">
          <bgColor rgb="FFEAF3D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5"/>
  <sheetViews>
    <sheetView workbookViewId="0">
      <pane ySplit="4" topLeftCell="A5" activePane="bottomLeft" state="frozen"/>
      <selection pane="bottomLeft"/>
    </sheetView>
  </sheetViews>
  <sheetFormatPr defaultRowHeight="15" outlineLevelRow="0" outlineLevelCol="0" x14ac:dyDescent="55"/>
  <cols>
    <col min="1" max="1" width="26" customWidth="1"/>
    <col min="2" max="2" width="24" customWidth="1"/>
    <col min="3" max="8" width="18" customWidth="1"/>
    <col min="9" max="9" width="11" customWidth="1"/>
    <col min="10" max="10" width="18" customWidth="1"/>
    <col min="11" max="12" width="12" customWidth="1"/>
    <col min="13" max="13" width="34" customWidth="1"/>
  </cols>
  <sheetData>
    <row r="1" spans="1:1" x14ac:dyDescent="0.25">
      <c r="A1" s="1" t="s">
        <v>0</v>
      </c>
    </row>
    <row r="2" spans="1:1" x14ac:dyDescent="0.25">
      <c r="A2" s="2" t="s">
        <v>1</v>
      </c>
    </row>
    <row r="4" ht="32" customHeight="1" spans="1:13" x14ac:dyDescent="0.25">
      <c r="A4" s="3" t="s">
        <v>2</v>
      </c>
      <c r="B4" s="3" t="s">
        <v>3</v>
      </c>
      <c r="C4" s="3" t="s">
        <v>4</v>
      </c>
      <c r="D4" s="3" t="s">
        <v>5</v>
      </c>
      <c r="E4" s="3" t="s">
        <v>6</v>
      </c>
      <c r="F4" s="3" t="s">
        <v>7</v>
      </c>
      <c r="G4" s="3" t="s">
        <v>8</v>
      </c>
      <c r="H4" s="3" t="s">
        <v>9</v>
      </c>
      <c r="I4" s="3" t="s">
        <v>10</v>
      </c>
      <c r="J4" s="3" t="s">
        <v>11</v>
      </c>
      <c r="K4" s="3" t="s">
        <v>12</v>
      </c>
      <c r="L4" s="3" t="s">
        <v>13</v>
      </c>
      <c r="M4" s="3" t="s">
        <v>14</v>
      </c>
    </row>
    <row r="5" spans="1:13" x14ac:dyDescent="0.25">
      <c r="A5" s="4" t="s">
        <v>15</v>
      </c>
      <c r="B5" s="4" t="s">
        <v>16</v>
      </c>
      <c r="C5" s="5">
        <v>46300.16666666667</v>
      </c>
      <c r="D5" s="6">
        <f>IF($C5="","",WORKDAY($C5+1-1,1))</f>
        <v>46301</v>
      </c>
      <c r="E5" s="6">
        <f>IF($C5="","",WORKDAY($C5+3-1,1))</f>
        <v>46303</v>
      </c>
      <c r="F5" s="6">
        <f>IF($C5="","",WORKDAY($C5+7-1,1))</f>
        <v>46307</v>
      </c>
      <c r="G5" s="6">
        <f>IF($C5="","",WORKDAY($C5+14-1,1))</f>
        <v>46314</v>
      </c>
      <c r="H5" s="6">
        <f>IF($C5="","",WORKDAY($C5+30-1,1))</f>
        <v>46330</v>
      </c>
      <c r="I5" s="4">
        <v>1</v>
      </c>
      <c r="J5" s="6">
        <f>IF(OR($C5="",N($I5)&gt;=5),"",INDEX($D5:$H5,1,N($I5)+1))</f>
        <v>46303</v>
      </c>
      <c r="K5" s="7" t="str">
        <f>IF($C5="","",IF(N($I5)&gt;=5,"Done",IF(J5&lt;TODAY(),"Overdue",IF(J5=TODAY(),"Due today","On track"))))</f>
        <v>On track</v>
      </c>
      <c r="L5" s="4" t="s">
        <v>17</v>
      </c>
      <c r="M5" s="4"/>
    </row>
    <row r="6" spans="1:13" x14ac:dyDescent="0.25">
      <c r="A6" s="8"/>
      <c r="B6" s="8"/>
      <c r="C6" s="9"/>
      <c r="D6" s="6" t="str">
        <f>IF($C6="","",WORKDAY($C6+1-1,1))</f>
        <v/>
      </c>
      <c r="E6" s="6" t="str">
        <f>IF($C6="","",WORKDAY($C6+3-1,1))</f>
        <v/>
      </c>
      <c r="F6" s="6" t="str">
        <f>IF($C6="","",WORKDAY($C6+7-1,1))</f>
        <v/>
      </c>
      <c r="G6" s="6" t="str">
        <f>IF($C6="","",WORKDAY($C6+14-1,1))</f>
        <v/>
      </c>
      <c r="H6" s="6" t="str">
        <f>IF($C6="","",WORKDAY($C6+30-1,1))</f>
        <v/>
      </c>
      <c r="I6" s="8"/>
      <c r="J6" s="6" t="str">
        <f>IF(OR($C6="",N($I6)&gt;=5),"",INDEX($D6:$H6,1,N($I6)+1))</f>
        <v/>
      </c>
      <c r="K6" s="7" t="str">
        <f>IF($C6="","",IF(N($I6)&gt;=5,"Done",IF(J6&lt;TODAY(),"Overdue",IF(J6=TODAY(),"Due today","On track"))))</f>
        <v/>
      </c>
      <c r="L6" s="8"/>
      <c r="M6" s="8"/>
    </row>
    <row r="7" spans="1:13" x14ac:dyDescent="0.25">
      <c r="A7" s="8"/>
      <c r="B7" s="8"/>
      <c r="C7" s="9"/>
      <c r="D7" s="6" t="str">
        <f>IF($C7="","",WORKDAY($C7+1-1,1))</f>
        <v/>
      </c>
      <c r="E7" s="6" t="str">
        <f>IF($C7="","",WORKDAY($C7+3-1,1))</f>
        <v/>
      </c>
      <c r="F7" s="6" t="str">
        <f>IF($C7="","",WORKDAY($C7+7-1,1))</f>
        <v/>
      </c>
      <c r="G7" s="6" t="str">
        <f>IF($C7="","",WORKDAY($C7+14-1,1))</f>
        <v/>
      </c>
      <c r="H7" s="6" t="str">
        <f>IF($C7="","",WORKDAY($C7+30-1,1))</f>
        <v/>
      </c>
      <c r="I7" s="8"/>
      <c r="J7" s="6" t="str">
        <f>IF(OR($C7="",N($I7)&gt;=5),"",INDEX($D7:$H7,1,N($I7)+1))</f>
        <v/>
      </c>
      <c r="K7" s="7" t="str">
        <f>IF($C7="","",IF(N($I7)&gt;=5,"Done",IF(J7&lt;TODAY(),"Overdue",IF(J7=TODAY(),"Due today","On track"))))</f>
        <v/>
      </c>
      <c r="L7" s="8"/>
      <c r="M7" s="8"/>
    </row>
    <row r="8" spans="1:13" x14ac:dyDescent="0.25">
      <c r="A8" s="8"/>
      <c r="B8" s="8"/>
      <c r="C8" s="9"/>
      <c r="D8" s="6" t="str">
        <f>IF($C8="","",WORKDAY($C8+1-1,1))</f>
        <v/>
      </c>
      <c r="E8" s="6" t="str">
        <f>IF($C8="","",WORKDAY($C8+3-1,1))</f>
        <v/>
      </c>
      <c r="F8" s="6" t="str">
        <f>IF($C8="","",WORKDAY($C8+7-1,1))</f>
        <v/>
      </c>
      <c r="G8" s="6" t="str">
        <f>IF($C8="","",WORKDAY($C8+14-1,1))</f>
        <v/>
      </c>
      <c r="H8" s="6" t="str">
        <f>IF($C8="","",WORKDAY($C8+30-1,1))</f>
        <v/>
      </c>
      <c r="I8" s="8"/>
      <c r="J8" s="6" t="str">
        <f>IF(OR($C8="",N($I8)&gt;=5),"",INDEX($D8:$H8,1,N($I8)+1))</f>
        <v/>
      </c>
      <c r="K8" s="7" t="str">
        <f>IF($C8="","",IF(N($I8)&gt;=5,"Done",IF(J8&lt;TODAY(),"Overdue",IF(J8=TODAY(),"Due today","On track"))))</f>
        <v/>
      </c>
      <c r="L8" s="8"/>
      <c r="M8" s="8"/>
    </row>
    <row r="9" spans="1:13" x14ac:dyDescent="0.25">
      <c r="A9" s="8"/>
      <c r="B9" s="8"/>
      <c r="C9" s="9"/>
      <c r="D9" s="6" t="str">
        <f>IF($C9="","",WORKDAY($C9+1-1,1))</f>
        <v/>
      </c>
      <c r="E9" s="6" t="str">
        <f>IF($C9="","",WORKDAY($C9+3-1,1))</f>
        <v/>
      </c>
      <c r="F9" s="6" t="str">
        <f>IF($C9="","",WORKDAY($C9+7-1,1))</f>
        <v/>
      </c>
      <c r="G9" s="6" t="str">
        <f>IF($C9="","",WORKDAY($C9+14-1,1))</f>
        <v/>
      </c>
      <c r="H9" s="6" t="str">
        <f>IF($C9="","",WORKDAY($C9+30-1,1))</f>
        <v/>
      </c>
      <c r="I9" s="8"/>
      <c r="J9" s="6" t="str">
        <f>IF(OR($C9="",N($I9)&gt;=5),"",INDEX($D9:$H9,1,N($I9)+1))</f>
        <v/>
      </c>
      <c r="K9" s="7" t="str">
        <f>IF($C9="","",IF(N($I9)&gt;=5,"Done",IF(J9&lt;TODAY(),"Overdue",IF(J9=TODAY(),"Due today","On track"))))</f>
        <v/>
      </c>
      <c r="L9" s="8"/>
      <c r="M9" s="8"/>
    </row>
    <row r="10" spans="1:13" x14ac:dyDescent="0.25">
      <c r="A10" s="8"/>
      <c r="B10" s="8"/>
      <c r="C10" s="9"/>
      <c r="D10" s="6" t="str">
        <f>IF($C10="","",WORKDAY($C10+1-1,1))</f>
        <v/>
      </c>
      <c r="E10" s="6" t="str">
        <f>IF($C10="","",WORKDAY($C10+3-1,1))</f>
        <v/>
      </c>
      <c r="F10" s="6" t="str">
        <f>IF($C10="","",WORKDAY($C10+7-1,1))</f>
        <v/>
      </c>
      <c r="G10" s="6" t="str">
        <f>IF($C10="","",WORKDAY($C10+14-1,1))</f>
        <v/>
      </c>
      <c r="H10" s="6" t="str">
        <f>IF($C10="","",WORKDAY($C10+30-1,1))</f>
        <v/>
      </c>
      <c r="I10" s="8"/>
      <c r="J10" s="6" t="str">
        <f>IF(OR($C10="",N($I10)&gt;=5),"",INDEX($D10:$H10,1,N($I10)+1))</f>
        <v/>
      </c>
      <c r="K10" s="7" t="str">
        <f>IF($C10="","",IF(N($I10)&gt;=5,"Done",IF(J10&lt;TODAY(),"Overdue",IF(J10=TODAY(),"Due today","On track"))))</f>
        <v/>
      </c>
      <c r="L10" s="8"/>
      <c r="M10" s="8"/>
    </row>
    <row r="11" spans="1:13" x14ac:dyDescent="0.25">
      <c r="A11" s="8"/>
      <c r="B11" s="8"/>
      <c r="C11" s="9"/>
      <c r="D11" s="6" t="str">
        <f>IF($C11="","",WORKDAY($C11+1-1,1))</f>
        <v/>
      </c>
      <c r="E11" s="6" t="str">
        <f>IF($C11="","",WORKDAY($C11+3-1,1))</f>
        <v/>
      </c>
      <c r="F11" s="6" t="str">
        <f>IF($C11="","",WORKDAY($C11+7-1,1))</f>
        <v/>
      </c>
      <c r="G11" s="6" t="str">
        <f>IF($C11="","",WORKDAY($C11+14-1,1))</f>
        <v/>
      </c>
      <c r="H11" s="6" t="str">
        <f>IF($C11="","",WORKDAY($C11+30-1,1))</f>
        <v/>
      </c>
      <c r="I11" s="8"/>
      <c r="J11" s="6" t="str">
        <f>IF(OR($C11="",N($I11)&gt;=5),"",INDEX($D11:$H11,1,N($I11)+1))</f>
        <v/>
      </c>
      <c r="K11" s="7" t="str">
        <f>IF($C11="","",IF(N($I11)&gt;=5,"Done",IF(J11&lt;TODAY(),"Overdue",IF(J11=TODAY(),"Due today","On track"))))</f>
        <v/>
      </c>
      <c r="L11" s="8"/>
      <c r="M11" s="8"/>
    </row>
    <row r="12" spans="1:13" x14ac:dyDescent="0.25">
      <c r="A12" s="8"/>
      <c r="B12" s="8"/>
      <c r="C12" s="9"/>
      <c r="D12" s="6" t="str">
        <f>IF($C12="","",WORKDAY($C12+1-1,1))</f>
        <v/>
      </c>
      <c r="E12" s="6" t="str">
        <f>IF($C12="","",WORKDAY($C12+3-1,1))</f>
        <v/>
      </c>
      <c r="F12" s="6" t="str">
        <f>IF($C12="","",WORKDAY($C12+7-1,1))</f>
        <v/>
      </c>
      <c r="G12" s="6" t="str">
        <f>IF($C12="","",WORKDAY($C12+14-1,1))</f>
        <v/>
      </c>
      <c r="H12" s="6" t="str">
        <f>IF($C12="","",WORKDAY($C12+30-1,1))</f>
        <v/>
      </c>
      <c r="I12" s="8"/>
      <c r="J12" s="6" t="str">
        <f>IF(OR($C12="",N($I12)&gt;=5),"",INDEX($D12:$H12,1,N($I12)+1))</f>
        <v/>
      </c>
      <c r="K12" s="7" t="str">
        <f>IF($C12="","",IF(N($I12)&gt;=5,"Done",IF(J12&lt;TODAY(),"Overdue",IF(J12=TODAY(),"Due today","On track"))))</f>
        <v/>
      </c>
      <c r="L12" s="8"/>
      <c r="M12" s="8"/>
    </row>
    <row r="13" spans="1:13" x14ac:dyDescent="0.25">
      <c r="A13" s="8"/>
      <c r="B13" s="8"/>
      <c r="C13" s="9"/>
      <c r="D13" s="6" t="str">
        <f>IF($C13="","",WORKDAY($C13+1-1,1))</f>
        <v/>
      </c>
      <c r="E13" s="6" t="str">
        <f>IF($C13="","",WORKDAY($C13+3-1,1))</f>
        <v/>
      </c>
      <c r="F13" s="6" t="str">
        <f>IF($C13="","",WORKDAY($C13+7-1,1))</f>
        <v/>
      </c>
      <c r="G13" s="6" t="str">
        <f>IF($C13="","",WORKDAY($C13+14-1,1))</f>
        <v/>
      </c>
      <c r="H13" s="6" t="str">
        <f>IF($C13="","",WORKDAY($C13+30-1,1))</f>
        <v/>
      </c>
      <c r="I13" s="8"/>
      <c r="J13" s="6" t="str">
        <f>IF(OR($C13="",N($I13)&gt;=5),"",INDEX($D13:$H13,1,N($I13)+1))</f>
        <v/>
      </c>
      <c r="K13" s="7" t="str">
        <f>IF($C13="","",IF(N($I13)&gt;=5,"Done",IF(J13&lt;TODAY(),"Overdue",IF(J13=TODAY(),"Due today","On track"))))</f>
        <v/>
      </c>
      <c r="L13" s="8"/>
      <c r="M13" s="8"/>
    </row>
    <row r="14" spans="1:13" x14ac:dyDescent="0.25">
      <c r="A14" s="8"/>
      <c r="B14" s="8"/>
      <c r="C14" s="9"/>
      <c r="D14" s="6" t="str">
        <f>IF($C14="","",WORKDAY($C14+1-1,1))</f>
        <v/>
      </c>
      <c r="E14" s="6" t="str">
        <f>IF($C14="","",WORKDAY($C14+3-1,1))</f>
        <v/>
      </c>
      <c r="F14" s="6" t="str">
        <f>IF($C14="","",WORKDAY($C14+7-1,1))</f>
        <v/>
      </c>
      <c r="G14" s="6" t="str">
        <f>IF($C14="","",WORKDAY($C14+14-1,1))</f>
        <v/>
      </c>
      <c r="H14" s="6" t="str">
        <f>IF($C14="","",WORKDAY($C14+30-1,1))</f>
        <v/>
      </c>
      <c r="I14" s="8"/>
      <c r="J14" s="6" t="str">
        <f>IF(OR($C14="",N($I14)&gt;=5),"",INDEX($D14:$H14,1,N($I14)+1))</f>
        <v/>
      </c>
      <c r="K14" s="7" t="str">
        <f>IF($C14="","",IF(N($I14)&gt;=5,"Done",IF(J14&lt;TODAY(),"Overdue",IF(J14=TODAY(),"Due today","On track"))))</f>
        <v/>
      </c>
      <c r="L14" s="8"/>
      <c r="M14" s="8"/>
    </row>
    <row r="15" spans="1:13" x14ac:dyDescent="0.25">
      <c r="A15" s="8"/>
      <c r="B15" s="8"/>
      <c r="C15" s="9"/>
      <c r="D15" s="6" t="str">
        <f>IF($C15="","",WORKDAY($C15+1-1,1))</f>
        <v/>
      </c>
      <c r="E15" s="6" t="str">
        <f>IF($C15="","",WORKDAY($C15+3-1,1))</f>
        <v/>
      </c>
      <c r="F15" s="6" t="str">
        <f>IF($C15="","",WORKDAY($C15+7-1,1))</f>
        <v/>
      </c>
      <c r="G15" s="6" t="str">
        <f>IF($C15="","",WORKDAY($C15+14-1,1))</f>
        <v/>
      </c>
      <c r="H15" s="6" t="str">
        <f>IF($C15="","",WORKDAY($C15+30-1,1))</f>
        <v/>
      </c>
      <c r="I15" s="8"/>
      <c r="J15" s="6" t="str">
        <f>IF(OR($C15="",N($I15)&gt;=5),"",INDEX($D15:$H15,1,N($I15)+1))</f>
        <v/>
      </c>
      <c r="K15" s="7" t="str">
        <f>IF($C15="","",IF(N($I15)&gt;=5,"Done",IF(J15&lt;TODAY(),"Overdue",IF(J15=TODAY(),"Due today","On track"))))</f>
        <v/>
      </c>
      <c r="L15" s="8"/>
      <c r="M15" s="8"/>
    </row>
    <row r="16" spans="1:13" x14ac:dyDescent="0.25">
      <c r="A16" s="8"/>
      <c r="B16" s="8"/>
      <c r="C16" s="9"/>
      <c r="D16" s="6" t="str">
        <f>IF($C16="","",WORKDAY($C16+1-1,1))</f>
        <v/>
      </c>
      <c r="E16" s="6" t="str">
        <f>IF($C16="","",WORKDAY($C16+3-1,1))</f>
        <v/>
      </c>
      <c r="F16" s="6" t="str">
        <f>IF($C16="","",WORKDAY($C16+7-1,1))</f>
        <v/>
      </c>
      <c r="G16" s="6" t="str">
        <f>IF($C16="","",WORKDAY($C16+14-1,1))</f>
        <v/>
      </c>
      <c r="H16" s="6" t="str">
        <f>IF($C16="","",WORKDAY($C16+30-1,1))</f>
        <v/>
      </c>
      <c r="I16" s="8"/>
      <c r="J16" s="6" t="str">
        <f>IF(OR($C16="",N($I16)&gt;=5),"",INDEX($D16:$H16,1,N($I16)+1))</f>
        <v/>
      </c>
      <c r="K16" s="7" t="str">
        <f>IF($C16="","",IF(N($I16)&gt;=5,"Done",IF(J16&lt;TODAY(),"Overdue",IF(J16=TODAY(),"Due today","On track"))))</f>
        <v/>
      </c>
      <c r="L16" s="8"/>
      <c r="M16" s="8"/>
    </row>
    <row r="17" spans="1:13" x14ac:dyDescent="0.25">
      <c r="A17" s="8"/>
      <c r="B17" s="8"/>
      <c r="C17" s="9"/>
      <c r="D17" s="6" t="str">
        <f>IF($C17="","",WORKDAY($C17+1-1,1))</f>
        <v/>
      </c>
      <c r="E17" s="6" t="str">
        <f>IF($C17="","",WORKDAY($C17+3-1,1))</f>
        <v/>
      </c>
      <c r="F17" s="6" t="str">
        <f>IF($C17="","",WORKDAY($C17+7-1,1))</f>
        <v/>
      </c>
      <c r="G17" s="6" t="str">
        <f>IF($C17="","",WORKDAY($C17+14-1,1))</f>
        <v/>
      </c>
      <c r="H17" s="6" t="str">
        <f>IF($C17="","",WORKDAY($C17+30-1,1))</f>
        <v/>
      </c>
      <c r="I17" s="8"/>
      <c r="J17" s="6" t="str">
        <f>IF(OR($C17="",N($I17)&gt;=5),"",INDEX($D17:$H17,1,N($I17)+1))</f>
        <v/>
      </c>
      <c r="K17" s="7" t="str">
        <f>IF($C17="","",IF(N($I17)&gt;=5,"Done",IF(J17&lt;TODAY(),"Overdue",IF(J17=TODAY(),"Due today","On track"))))</f>
        <v/>
      </c>
      <c r="L17" s="8"/>
      <c r="M17" s="8"/>
    </row>
    <row r="18" spans="1:13" x14ac:dyDescent="0.25">
      <c r="A18" s="8"/>
      <c r="B18" s="8"/>
      <c r="C18" s="9"/>
      <c r="D18" s="6" t="str">
        <f>IF($C18="","",WORKDAY($C18+1-1,1))</f>
        <v/>
      </c>
      <c r="E18" s="6" t="str">
        <f>IF($C18="","",WORKDAY($C18+3-1,1))</f>
        <v/>
      </c>
      <c r="F18" s="6" t="str">
        <f>IF($C18="","",WORKDAY($C18+7-1,1))</f>
        <v/>
      </c>
      <c r="G18" s="6" t="str">
        <f>IF($C18="","",WORKDAY($C18+14-1,1))</f>
        <v/>
      </c>
      <c r="H18" s="6" t="str">
        <f>IF($C18="","",WORKDAY($C18+30-1,1))</f>
        <v/>
      </c>
      <c r="I18" s="8"/>
      <c r="J18" s="6" t="str">
        <f>IF(OR($C18="",N($I18)&gt;=5),"",INDEX($D18:$H18,1,N($I18)+1))</f>
        <v/>
      </c>
      <c r="K18" s="7" t="str">
        <f>IF($C18="","",IF(N($I18)&gt;=5,"Done",IF(J18&lt;TODAY(),"Overdue",IF(J18=TODAY(),"Due today","On track"))))</f>
        <v/>
      </c>
      <c r="L18" s="8"/>
      <c r="M18" s="8"/>
    </row>
    <row r="19" spans="1:13" x14ac:dyDescent="0.25">
      <c r="A19" s="8"/>
      <c r="B19" s="8"/>
      <c r="C19" s="9"/>
      <c r="D19" s="6" t="str">
        <f>IF($C19="","",WORKDAY($C19+1-1,1))</f>
        <v/>
      </c>
      <c r="E19" s="6" t="str">
        <f>IF($C19="","",WORKDAY($C19+3-1,1))</f>
        <v/>
      </c>
      <c r="F19" s="6" t="str">
        <f>IF($C19="","",WORKDAY($C19+7-1,1))</f>
        <v/>
      </c>
      <c r="G19" s="6" t="str">
        <f>IF($C19="","",WORKDAY($C19+14-1,1))</f>
        <v/>
      </c>
      <c r="H19" s="6" t="str">
        <f>IF($C19="","",WORKDAY($C19+30-1,1))</f>
        <v/>
      </c>
      <c r="I19" s="8"/>
      <c r="J19" s="6" t="str">
        <f>IF(OR($C19="",N($I19)&gt;=5),"",INDEX($D19:$H19,1,N($I19)+1))</f>
        <v/>
      </c>
      <c r="K19" s="7" t="str">
        <f>IF($C19="","",IF(N($I19)&gt;=5,"Done",IF(J19&lt;TODAY(),"Overdue",IF(J19=TODAY(),"Due today","On track"))))</f>
        <v/>
      </c>
      <c r="L19" s="8"/>
      <c r="M19" s="8"/>
    </row>
    <row r="20" spans="1:13" x14ac:dyDescent="0.25">
      <c r="A20" s="8"/>
      <c r="B20" s="8"/>
      <c r="C20" s="9"/>
      <c r="D20" s="6" t="str">
        <f>IF($C20="","",WORKDAY($C20+1-1,1))</f>
        <v/>
      </c>
      <c r="E20" s="6" t="str">
        <f>IF($C20="","",WORKDAY($C20+3-1,1))</f>
        <v/>
      </c>
      <c r="F20" s="6" t="str">
        <f>IF($C20="","",WORKDAY($C20+7-1,1))</f>
        <v/>
      </c>
      <c r="G20" s="6" t="str">
        <f>IF($C20="","",WORKDAY($C20+14-1,1))</f>
        <v/>
      </c>
      <c r="H20" s="6" t="str">
        <f>IF($C20="","",WORKDAY($C20+30-1,1))</f>
        <v/>
      </c>
      <c r="I20" s="8"/>
      <c r="J20" s="6" t="str">
        <f>IF(OR($C20="",N($I20)&gt;=5),"",INDEX($D20:$H20,1,N($I20)+1))</f>
        <v/>
      </c>
      <c r="K20" s="7" t="str">
        <f>IF($C20="","",IF(N($I20)&gt;=5,"Done",IF(J20&lt;TODAY(),"Overdue",IF(J20=TODAY(),"Due today","On track"))))</f>
        <v/>
      </c>
      <c r="L20" s="8"/>
      <c r="M20" s="8"/>
    </row>
    <row r="21" spans="1:13" x14ac:dyDescent="0.25">
      <c r="A21" s="8"/>
      <c r="B21" s="8"/>
      <c r="C21" s="9"/>
      <c r="D21" s="6" t="str">
        <f>IF($C21="","",WORKDAY($C21+1-1,1))</f>
        <v/>
      </c>
      <c r="E21" s="6" t="str">
        <f>IF($C21="","",WORKDAY($C21+3-1,1))</f>
        <v/>
      </c>
      <c r="F21" s="6" t="str">
        <f>IF($C21="","",WORKDAY($C21+7-1,1))</f>
        <v/>
      </c>
      <c r="G21" s="6" t="str">
        <f>IF($C21="","",WORKDAY($C21+14-1,1))</f>
        <v/>
      </c>
      <c r="H21" s="6" t="str">
        <f>IF($C21="","",WORKDAY($C21+30-1,1))</f>
        <v/>
      </c>
      <c r="I21" s="8"/>
      <c r="J21" s="6" t="str">
        <f>IF(OR($C21="",N($I21)&gt;=5),"",INDEX($D21:$H21,1,N($I21)+1))</f>
        <v/>
      </c>
      <c r="K21" s="7" t="str">
        <f>IF($C21="","",IF(N($I21)&gt;=5,"Done",IF(J21&lt;TODAY(),"Overdue",IF(J21=TODAY(),"Due today","On track"))))</f>
        <v/>
      </c>
      <c r="L21" s="8"/>
      <c r="M21" s="8"/>
    </row>
    <row r="22" spans="1:13" x14ac:dyDescent="0.25">
      <c r="A22" s="8"/>
      <c r="B22" s="8"/>
      <c r="C22" s="9"/>
      <c r="D22" s="6" t="str">
        <f>IF($C22="","",WORKDAY($C22+1-1,1))</f>
        <v/>
      </c>
      <c r="E22" s="6" t="str">
        <f>IF($C22="","",WORKDAY($C22+3-1,1))</f>
        <v/>
      </c>
      <c r="F22" s="6" t="str">
        <f>IF($C22="","",WORKDAY($C22+7-1,1))</f>
        <v/>
      </c>
      <c r="G22" s="6" t="str">
        <f>IF($C22="","",WORKDAY($C22+14-1,1))</f>
        <v/>
      </c>
      <c r="H22" s="6" t="str">
        <f>IF($C22="","",WORKDAY($C22+30-1,1))</f>
        <v/>
      </c>
      <c r="I22" s="8"/>
      <c r="J22" s="6" t="str">
        <f>IF(OR($C22="",N($I22)&gt;=5),"",INDEX($D22:$H22,1,N($I22)+1))</f>
        <v/>
      </c>
      <c r="K22" s="7" t="str">
        <f>IF($C22="","",IF(N($I22)&gt;=5,"Done",IF(J22&lt;TODAY(),"Overdue",IF(J22=TODAY(),"Due today","On track"))))</f>
        <v/>
      </c>
      <c r="L22" s="8"/>
      <c r="M22" s="8"/>
    </row>
    <row r="23" spans="1:13" x14ac:dyDescent="0.25">
      <c r="A23" s="8"/>
      <c r="B23" s="8"/>
      <c r="C23" s="9"/>
      <c r="D23" s="6" t="str">
        <f>IF($C23="","",WORKDAY($C23+1-1,1))</f>
        <v/>
      </c>
      <c r="E23" s="6" t="str">
        <f>IF($C23="","",WORKDAY($C23+3-1,1))</f>
        <v/>
      </c>
      <c r="F23" s="6" t="str">
        <f>IF($C23="","",WORKDAY($C23+7-1,1))</f>
        <v/>
      </c>
      <c r="G23" s="6" t="str">
        <f>IF($C23="","",WORKDAY($C23+14-1,1))</f>
        <v/>
      </c>
      <c r="H23" s="6" t="str">
        <f>IF($C23="","",WORKDAY($C23+30-1,1))</f>
        <v/>
      </c>
      <c r="I23" s="8"/>
      <c r="J23" s="6" t="str">
        <f>IF(OR($C23="",N($I23)&gt;=5),"",INDEX($D23:$H23,1,N($I23)+1))</f>
        <v/>
      </c>
      <c r="K23" s="7" t="str">
        <f>IF($C23="","",IF(N($I23)&gt;=5,"Done",IF(J23&lt;TODAY(),"Overdue",IF(J23=TODAY(),"Due today","On track"))))</f>
        <v/>
      </c>
      <c r="L23" s="8"/>
      <c r="M23" s="8"/>
    </row>
    <row r="24" spans="1:13" x14ac:dyDescent="0.25">
      <c r="A24" s="8"/>
      <c r="B24" s="8"/>
      <c r="C24" s="9"/>
      <c r="D24" s="6" t="str">
        <f>IF($C24="","",WORKDAY($C24+1-1,1))</f>
        <v/>
      </c>
      <c r="E24" s="6" t="str">
        <f>IF($C24="","",WORKDAY($C24+3-1,1))</f>
        <v/>
      </c>
      <c r="F24" s="6" t="str">
        <f>IF($C24="","",WORKDAY($C24+7-1,1))</f>
        <v/>
      </c>
      <c r="G24" s="6" t="str">
        <f>IF($C24="","",WORKDAY($C24+14-1,1))</f>
        <v/>
      </c>
      <c r="H24" s="6" t="str">
        <f>IF($C24="","",WORKDAY($C24+30-1,1))</f>
        <v/>
      </c>
      <c r="I24" s="8"/>
      <c r="J24" s="6" t="str">
        <f>IF(OR($C24="",N($I24)&gt;=5),"",INDEX($D24:$H24,1,N($I24)+1))</f>
        <v/>
      </c>
      <c r="K24" s="7" t="str">
        <f>IF($C24="","",IF(N($I24)&gt;=5,"Done",IF(J24&lt;TODAY(),"Overdue",IF(J24=TODAY(),"Due today","On track"))))</f>
        <v/>
      </c>
      <c r="L24" s="8"/>
      <c r="M24" s="8"/>
    </row>
    <row r="25" spans="1:13" x14ac:dyDescent="0.25">
      <c r="A25" s="8"/>
      <c r="B25" s="8"/>
      <c r="C25" s="9"/>
      <c r="D25" s="6" t="str">
        <f>IF($C25="","",WORKDAY($C25+1-1,1))</f>
        <v/>
      </c>
      <c r="E25" s="6" t="str">
        <f>IF($C25="","",WORKDAY($C25+3-1,1))</f>
        <v/>
      </c>
      <c r="F25" s="6" t="str">
        <f>IF($C25="","",WORKDAY($C25+7-1,1))</f>
        <v/>
      </c>
      <c r="G25" s="6" t="str">
        <f>IF($C25="","",WORKDAY($C25+14-1,1))</f>
        <v/>
      </c>
      <c r="H25" s="6" t="str">
        <f>IF($C25="","",WORKDAY($C25+30-1,1))</f>
        <v/>
      </c>
      <c r="I25" s="8"/>
      <c r="J25" s="6" t="str">
        <f>IF(OR($C25="",N($I25)&gt;=5),"",INDEX($D25:$H25,1,N($I25)+1))</f>
        <v/>
      </c>
      <c r="K25" s="7" t="str">
        <f>IF($C25="","",IF(N($I25)&gt;=5,"Done",IF(J25&lt;TODAY(),"Overdue",IF(J25=TODAY(),"Due today","On track"))))</f>
        <v/>
      </c>
      <c r="L25" s="8"/>
      <c r="M25" s="8"/>
    </row>
    <row r="26" spans="1:13" x14ac:dyDescent="0.25">
      <c r="A26" s="8"/>
      <c r="B26" s="8"/>
      <c r="C26" s="9"/>
      <c r="D26" s="6" t="str">
        <f>IF($C26="","",WORKDAY($C26+1-1,1))</f>
        <v/>
      </c>
      <c r="E26" s="6" t="str">
        <f>IF($C26="","",WORKDAY($C26+3-1,1))</f>
        <v/>
      </c>
      <c r="F26" s="6" t="str">
        <f>IF($C26="","",WORKDAY($C26+7-1,1))</f>
        <v/>
      </c>
      <c r="G26" s="6" t="str">
        <f>IF($C26="","",WORKDAY($C26+14-1,1))</f>
        <v/>
      </c>
      <c r="H26" s="6" t="str">
        <f>IF($C26="","",WORKDAY($C26+30-1,1))</f>
        <v/>
      </c>
      <c r="I26" s="8"/>
      <c r="J26" s="6" t="str">
        <f>IF(OR($C26="",N($I26)&gt;=5),"",INDEX($D26:$H26,1,N($I26)+1))</f>
        <v/>
      </c>
      <c r="K26" s="7" t="str">
        <f>IF($C26="","",IF(N($I26)&gt;=5,"Done",IF(J26&lt;TODAY(),"Overdue",IF(J26=TODAY(),"Due today","On track"))))</f>
        <v/>
      </c>
      <c r="L26" s="8"/>
      <c r="M26" s="8"/>
    </row>
    <row r="27" spans="1:13" x14ac:dyDescent="0.25">
      <c r="A27" s="8"/>
      <c r="B27" s="8"/>
      <c r="C27" s="9"/>
      <c r="D27" s="6" t="str">
        <f>IF($C27="","",WORKDAY($C27+1-1,1))</f>
        <v/>
      </c>
      <c r="E27" s="6" t="str">
        <f>IF($C27="","",WORKDAY($C27+3-1,1))</f>
        <v/>
      </c>
      <c r="F27" s="6" t="str">
        <f>IF($C27="","",WORKDAY($C27+7-1,1))</f>
        <v/>
      </c>
      <c r="G27" s="6" t="str">
        <f>IF($C27="","",WORKDAY($C27+14-1,1))</f>
        <v/>
      </c>
      <c r="H27" s="6" t="str">
        <f>IF($C27="","",WORKDAY($C27+30-1,1))</f>
        <v/>
      </c>
      <c r="I27" s="8"/>
      <c r="J27" s="6" t="str">
        <f>IF(OR($C27="",N($I27)&gt;=5),"",INDEX($D27:$H27,1,N($I27)+1))</f>
        <v/>
      </c>
      <c r="K27" s="7" t="str">
        <f>IF($C27="","",IF(N($I27)&gt;=5,"Done",IF(J27&lt;TODAY(),"Overdue",IF(J27=TODAY(),"Due today","On track"))))</f>
        <v/>
      </c>
      <c r="L27" s="8"/>
      <c r="M27" s="8"/>
    </row>
    <row r="28" spans="1:13" x14ac:dyDescent="0.25">
      <c r="A28" s="8"/>
      <c r="B28" s="8"/>
      <c r="C28" s="9"/>
      <c r="D28" s="6" t="str">
        <f>IF($C28="","",WORKDAY($C28+1-1,1))</f>
        <v/>
      </c>
      <c r="E28" s="6" t="str">
        <f>IF($C28="","",WORKDAY($C28+3-1,1))</f>
        <v/>
      </c>
      <c r="F28" s="6" t="str">
        <f>IF($C28="","",WORKDAY($C28+7-1,1))</f>
        <v/>
      </c>
      <c r="G28" s="6" t="str">
        <f>IF($C28="","",WORKDAY($C28+14-1,1))</f>
        <v/>
      </c>
      <c r="H28" s="6" t="str">
        <f>IF($C28="","",WORKDAY($C28+30-1,1))</f>
        <v/>
      </c>
      <c r="I28" s="8"/>
      <c r="J28" s="6" t="str">
        <f>IF(OR($C28="",N($I28)&gt;=5),"",INDEX($D28:$H28,1,N($I28)+1))</f>
        <v/>
      </c>
      <c r="K28" s="7" t="str">
        <f>IF($C28="","",IF(N($I28)&gt;=5,"Done",IF(J28&lt;TODAY(),"Overdue",IF(J28=TODAY(),"Due today","On track"))))</f>
        <v/>
      </c>
      <c r="L28" s="8"/>
      <c r="M28" s="8"/>
    </row>
    <row r="29" spans="1:13" x14ac:dyDescent="0.25">
      <c r="A29" s="8"/>
      <c r="B29" s="8"/>
      <c r="C29" s="9"/>
      <c r="D29" s="6" t="str">
        <f>IF($C29="","",WORKDAY($C29+1-1,1))</f>
        <v/>
      </c>
      <c r="E29" s="6" t="str">
        <f>IF($C29="","",WORKDAY($C29+3-1,1))</f>
        <v/>
      </c>
      <c r="F29" s="6" t="str">
        <f>IF($C29="","",WORKDAY($C29+7-1,1))</f>
        <v/>
      </c>
      <c r="G29" s="6" t="str">
        <f>IF($C29="","",WORKDAY($C29+14-1,1))</f>
        <v/>
      </c>
      <c r="H29" s="6" t="str">
        <f>IF($C29="","",WORKDAY($C29+30-1,1))</f>
        <v/>
      </c>
      <c r="I29" s="8"/>
      <c r="J29" s="6" t="str">
        <f>IF(OR($C29="",N($I29)&gt;=5),"",INDEX($D29:$H29,1,N($I29)+1))</f>
        <v/>
      </c>
      <c r="K29" s="7" t="str">
        <f>IF($C29="","",IF(N($I29)&gt;=5,"Done",IF(J29&lt;TODAY(),"Overdue",IF(J29=TODAY(),"Due today","On track"))))</f>
        <v/>
      </c>
      <c r="L29" s="8"/>
      <c r="M29" s="8"/>
    </row>
    <row r="30" spans="1:13" x14ac:dyDescent="0.25">
      <c r="A30" s="8"/>
      <c r="B30" s="8"/>
      <c r="C30" s="9"/>
      <c r="D30" s="6" t="str">
        <f>IF($C30="","",WORKDAY($C30+1-1,1))</f>
        <v/>
      </c>
      <c r="E30" s="6" t="str">
        <f>IF($C30="","",WORKDAY($C30+3-1,1))</f>
        <v/>
      </c>
      <c r="F30" s="6" t="str">
        <f>IF($C30="","",WORKDAY($C30+7-1,1))</f>
        <v/>
      </c>
      <c r="G30" s="6" t="str">
        <f>IF($C30="","",WORKDAY($C30+14-1,1))</f>
        <v/>
      </c>
      <c r="H30" s="6" t="str">
        <f>IF($C30="","",WORKDAY($C30+30-1,1))</f>
        <v/>
      </c>
      <c r="I30" s="8"/>
      <c r="J30" s="6" t="str">
        <f>IF(OR($C30="",N($I30)&gt;=5),"",INDEX($D30:$H30,1,N($I30)+1))</f>
        <v/>
      </c>
      <c r="K30" s="7" t="str">
        <f>IF($C30="","",IF(N($I30)&gt;=5,"Done",IF(J30&lt;TODAY(),"Overdue",IF(J30=TODAY(),"Due today","On track"))))</f>
        <v/>
      </c>
      <c r="L30" s="8"/>
      <c r="M30" s="8"/>
    </row>
    <row r="31" spans="1:13" x14ac:dyDescent="0.25">
      <c r="A31" s="8"/>
      <c r="B31" s="8"/>
      <c r="C31" s="9"/>
      <c r="D31" s="6" t="str">
        <f>IF($C31="","",WORKDAY($C31+1-1,1))</f>
        <v/>
      </c>
      <c r="E31" s="6" t="str">
        <f>IF($C31="","",WORKDAY($C31+3-1,1))</f>
        <v/>
      </c>
      <c r="F31" s="6" t="str">
        <f>IF($C31="","",WORKDAY($C31+7-1,1))</f>
        <v/>
      </c>
      <c r="G31" s="6" t="str">
        <f>IF($C31="","",WORKDAY($C31+14-1,1))</f>
        <v/>
      </c>
      <c r="H31" s="6" t="str">
        <f>IF($C31="","",WORKDAY($C31+30-1,1))</f>
        <v/>
      </c>
      <c r="I31" s="8"/>
      <c r="J31" s="6" t="str">
        <f>IF(OR($C31="",N($I31)&gt;=5),"",INDEX($D31:$H31,1,N($I31)+1))</f>
        <v/>
      </c>
      <c r="K31" s="7" t="str">
        <f>IF($C31="","",IF(N($I31)&gt;=5,"Done",IF(J31&lt;TODAY(),"Overdue",IF(J31=TODAY(),"Due today","On track"))))</f>
        <v/>
      </c>
      <c r="L31" s="8"/>
      <c r="M31" s="8"/>
    </row>
    <row r="32" spans="1:13" x14ac:dyDescent="0.25">
      <c r="A32" s="8"/>
      <c r="B32" s="8"/>
      <c r="C32" s="9"/>
      <c r="D32" s="6" t="str">
        <f>IF($C32="","",WORKDAY($C32+1-1,1))</f>
        <v/>
      </c>
      <c r="E32" s="6" t="str">
        <f>IF($C32="","",WORKDAY($C32+3-1,1))</f>
        <v/>
      </c>
      <c r="F32" s="6" t="str">
        <f>IF($C32="","",WORKDAY($C32+7-1,1))</f>
        <v/>
      </c>
      <c r="G32" s="6" t="str">
        <f>IF($C32="","",WORKDAY($C32+14-1,1))</f>
        <v/>
      </c>
      <c r="H32" s="6" t="str">
        <f>IF($C32="","",WORKDAY($C32+30-1,1))</f>
        <v/>
      </c>
      <c r="I32" s="8"/>
      <c r="J32" s="6" t="str">
        <f>IF(OR($C32="",N($I32)&gt;=5),"",INDEX($D32:$H32,1,N($I32)+1))</f>
        <v/>
      </c>
      <c r="K32" s="7" t="str">
        <f>IF($C32="","",IF(N($I32)&gt;=5,"Done",IF(J32&lt;TODAY(),"Overdue",IF(J32=TODAY(),"Due today","On track"))))</f>
        <v/>
      </c>
      <c r="L32" s="8"/>
      <c r="M32" s="8"/>
    </row>
    <row r="33" spans="1:13" x14ac:dyDescent="0.25">
      <c r="A33" s="8"/>
      <c r="B33" s="8"/>
      <c r="C33" s="9"/>
      <c r="D33" s="6" t="str">
        <f>IF($C33="","",WORKDAY($C33+1-1,1))</f>
        <v/>
      </c>
      <c r="E33" s="6" t="str">
        <f>IF($C33="","",WORKDAY($C33+3-1,1))</f>
        <v/>
      </c>
      <c r="F33" s="6" t="str">
        <f>IF($C33="","",WORKDAY($C33+7-1,1))</f>
        <v/>
      </c>
      <c r="G33" s="6" t="str">
        <f>IF($C33="","",WORKDAY($C33+14-1,1))</f>
        <v/>
      </c>
      <c r="H33" s="6" t="str">
        <f>IF($C33="","",WORKDAY($C33+30-1,1))</f>
        <v/>
      </c>
      <c r="I33" s="8"/>
      <c r="J33" s="6" t="str">
        <f>IF(OR($C33="",N($I33)&gt;=5),"",INDEX($D33:$H33,1,N($I33)+1))</f>
        <v/>
      </c>
      <c r="K33" s="7" t="str">
        <f>IF($C33="","",IF(N($I33)&gt;=5,"Done",IF(J33&lt;TODAY(),"Overdue",IF(J33=TODAY(),"Due today","On track"))))</f>
        <v/>
      </c>
      <c r="L33" s="8"/>
      <c r="M33" s="8"/>
    </row>
    <row r="34" spans="1:13" x14ac:dyDescent="0.25">
      <c r="A34" s="8"/>
      <c r="B34" s="8"/>
      <c r="C34" s="9"/>
      <c r="D34" s="6" t="str">
        <f>IF($C34="","",WORKDAY($C34+1-1,1))</f>
        <v/>
      </c>
      <c r="E34" s="6" t="str">
        <f>IF($C34="","",WORKDAY($C34+3-1,1))</f>
        <v/>
      </c>
      <c r="F34" s="6" t="str">
        <f>IF($C34="","",WORKDAY($C34+7-1,1))</f>
        <v/>
      </c>
      <c r="G34" s="6" t="str">
        <f>IF($C34="","",WORKDAY($C34+14-1,1))</f>
        <v/>
      </c>
      <c r="H34" s="6" t="str">
        <f>IF($C34="","",WORKDAY($C34+30-1,1))</f>
        <v/>
      </c>
      <c r="I34" s="8"/>
      <c r="J34" s="6" t="str">
        <f>IF(OR($C34="",N($I34)&gt;=5),"",INDEX($D34:$H34,1,N($I34)+1))</f>
        <v/>
      </c>
      <c r="K34" s="7" t="str">
        <f>IF($C34="","",IF(N($I34)&gt;=5,"Done",IF(J34&lt;TODAY(),"Overdue",IF(J34=TODAY(),"Due today","On track"))))</f>
        <v/>
      </c>
      <c r="L34" s="8"/>
      <c r="M34" s="8"/>
    </row>
    <row r="35" spans="1:13" x14ac:dyDescent="0.25">
      <c r="A35" s="8"/>
      <c r="B35" s="8"/>
      <c r="C35" s="9"/>
      <c r="D35" s="6" t="str">
        <f>IF($C35="","",WORKDAY($C35+1-1,1))</f>
        <v/>
      </c>
      <c r="E35" s="6" t="str">
        <f>IF($C35="","",WORKDAY($C35+3-1,1))</f>
        <v/>
      </c>
      <c r="F35" s="6" t="str">
        <f>IF($C35="","",WORKDAY($C35+7-1,1))</f>
        <v/>
      </c>
      <c r="G35" s="6" t="str">
        <f>IF($C35="","",WORKDAY($C35+14-1,1))</f>
        <v/>
      </c>
      <c r="H35" s="6" t="str">
        <f>IF($C35="","",WORKDAY($C35+30-1,1))</f>
        <v/>
      </c>
      <c r="I35" s="8"/>
      <c r="J35" s="6" t="str">
        <f>IF(OR($C35="",N($I35)&gt;=5),"",INDEX($D35:$H35,1,N($I35)+1))</f>
        <v/>
      </c>
      <c r="K35" s="7" t="str">
        <f>IF($C35="","",IF(N($I35)&gt;=5,"Done",IF(J35&lt;TODAY(),"Overdue",IF(J35=TODAY(),"Due today","On track"))))</f>
        <v/>
      </c>
      <c r="L35" s="8"/>
      <c r="M35" s="8"/>
    </row>
  </sheetData>
  <conditionalFormatting sqref="K5:K35">
    <cfRule type="cellIs" dxfId="0" priority="1" operator="equal">
      <formula>"Overdue"</formula>
    </cfRule>
    <cfRule type="cellIs" dxfId="1" priority="2" operator="equal">
      <formula>"Due today"</formula>
    </cfRule>
    <cfRule type="cellIs" dxfId="2" priority="3" operator="equal">
      <formula>"Done"</formula>
    </cfRule>
  </conditionalFormatting>
  <dataValidations count="6">
    <dataValidation type="date" operator="greaterThan" allowBlank="1" showErrorMessage="1" errorTitle="Proposal sent" error="Date" sqref="C10:C35">
      <formula1>43831.20833333333</formula1>
    </dataValidation>
    <dataValidation type="date" operator="greaterThan" allowBlank="1" showErrorMessage="1" errorTitle="Proposal sent" error="Date" sqref="C5:C35">
      <formula1>43831.20833333333</formula1>
    </dataValidation>
    <dataValidation type="whole" allowBlank="1" showErrorMessage="1" errorTitle="Touches done" error="0 - 5" sqref="I10:I35">
      <formula1>0</formula1>
      <formula2>5</formula2>
    </dataValidation>
    <dataValidation type="whole" allowBlank="1" showErrorMessage="1" errorTitle="Touches done" error="0 - 5" sqref="I5:I35">
      <formula1>0</formula1>
      <formula2>5</formula2>
    </dataValidation>
    <dataValidation type="list" allowBlank="1" sqref="L10:L35">
      <formula1>"Open,Won,Lost"</formula1>
    </dataValidation>
    <dataValidation type="list" allowBlank="1" sqref="L5:L35">
      <formula1>"Open,Won,Lost"</formula1>
    </dataValidation>
  </dataValidation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2" max="2" width="11" customWidth="1"/>
    <col min="3" max="3" width="18" customWidth="1"/>
    <col min="4" max="4" width="110" customWidth="1"/>
  </cols>
  <sheetData>
    <row r="1" spans="1:1" x14ac:dyDescent="0.25">
      <c r="A1" s="1" t="s">
        <v>18</v>
      </c>
    </row>
    <row r="2" spans="1:1" x14ac:dyDescent="0.25">
      <c r="A2" s="2" t="s">
        <v>19</v>
      </c>
    </row>
    <row r="4" ht="32" customHeight="1" spans="1:4" x14ac:dyDescent="0.25">
      <c r="A4" s="3" t="s">
        <v>20</v>
      </c>
      <c r="B4" s="3" t="s">
        <v>21</v>
      </c>
      <c r="C4" s="3" t="s">
        <v>22</v>
      </c>
      <c r="D4" s="3" t="s">
        <v>23</v>
      </c>
    </row>
    <row r="5" ht="48" customHeight="1" spans="1:4" x14ac:dyDescent="0.25">
      <c r="A5" s="10">
        <v>1</v>
      </c>
      <c r="B5" s="10" t="s">
        <v>24</v>
      </c>
      <c r="C5" s="10" t="s">
        <v>25</v>
      </c>
      <c r="D5" s="10" t="s">
        <v>26</v>
      </c>
    </row>
    <row r="6" ht="48" customHeight="1" spans="1:4" x14ac:dyDescent="0.25">
      <c r="A6" s="10">
        <v>2</v>
      </c>
      <c r="B6" s="10" t="s">
        <v>27</v>
      </c>
      <c r="C6" s="10" t="s">
        <v>28</v>
      </c>
      <c r="D6" s="10" t="s">
        <v>29</v>
      </c>
    </row>
    <row r="7" ht="48" customHeight="1" spans="1:4" x14ac:dyDescent="0.25">
      <c r="A7" s="10">
        <v>3</v>
      </c>
      <c r="B7" s="10" t="s">
        <v>30</v>
      </c>
      <c r="C7" s="10" t="s">
        <v>31</v>
      </c>
      <c r="D7" s="10" t="s">
        <v>32</v>
      </c>
    </row>
    <row r="8" ht="48" customHeight="1" spans="1:4" x14ac:dyDescent="0.25">
      <c r="A8" s="10">
        <v>4</v>
      </c>
      <c r="B8" s="10" t="s">
        <v>33</v>
      </c>
      <c r="C8" s="10" t="s">
        <v>34</v>
      </c>
      <c r="D8" s="10" t="s">
        <v>35</v>
      </c>
    </row>
    <row r="9" ht="48" customHeight="1" spans="1:4" x14ac:dyDescent="0.25">
      <c r="A9" s="10">
        <v>5</v>
      </c>
      <c r="B9" s="10" t="s">
        <v>36</v>
      </c>
      <c r="C9" s="10" t="s">
        <v>37</v>
      </c>
      <c r="D9" s="10"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Tracker</vt:lpstr>
      <vt:lpstr>Messages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2026-10-09T03:11:56Z</dcterms:created>
  <dcterms:modified xsi:type="dcterms:W3CDTF">2026-10-09T03:11:56Z</dcterms:modified>
</cp:coreProperties>
</file>